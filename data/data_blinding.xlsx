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4b858b1fb629067/projetos/functional_tests_blinding/"/>
    </mc:Choice>
  </mc:AlternateContent>
  <xr:revisionPtr revIDLastSave="66" documentId="13_ncr:20001_{E89D8655-8E10-4AE5-9749-285A6E5B37D3}" xr6:coauthVersionLast="47" xr6:coauthVersionMax="47" xr10:uidLastSave="{3F0FAEF7-83C2-4C9B-BDD1-8785B01402B3}"/>
  <bookViews>
    <workbookView xWindow="38280" yWindow="-120" windowWidth="19440" windowHeight="14880" xr2:uid="{00000000-000D-0000-FFFF-FFFF00000000}"/>
  </bookViews>
  <sheets>
    <sheet name="Planilha1" sheetId="2" r:id="rId1"/>
  </sheets>
  <definedNames>
    <definedName name="_xlnm._FilterDatabase" localSheetId="0" hidden="1">Planilha1!$A$1:$Q$1</definedName>
    <definedName name="_xlchart.v1.0" hidden="1">Planilha1!$N$2:$N$49</definedName>
    <definedName name="_xlchart.v1.1" hidden="1">Planilha1!$O$2:$O$49</definedName>
    <definedName name="_xlchart.v1.2" hidden="1">Planilha1!$P$2:$P$49</definedName>
    <definedName name="_xlchart.v1.3" hidden="1">Planilha1!$Q$2:$Q$49</definedName>
    <definedName name="_xlchart.v1.4" hidden="1">Planilha1!$N$2:$N$49</definedName>
    <definedName name="_xlchart.v1.5" hidden="1">Planilha1!$O$2:$O$49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4" i="2" l="1"/>
  <c r="O54" i="2"/>
  <c r="O53" i="2"/>
  <c r="Q53" i="2"/>
  <c r="O52" i="2"/>
  <c r="P52" i="2"/>
  <c r="Q52" i="2"/>
  <c r="N52" i="2"/>
  <c r="O50" i="2"/>
  <c r="P50" i="2"/>
  <c r="Q50" i="2"/>
  <c r="O51" i="2"/>
  <c r="P51" i="2"/>
  <c r="Q51" i="2"/>
  <c r="N51" i="2"/>
  <c r="N50" i="2"/>
</calcChain>
</file>

<file path=xl/sharedStrings.xml><?xml version="1.0" encoding="utf-8"?>
<sst xmlns="http://schemas.openxmlformats.org/spreadsheetml/2006/main" count="301" uniqueCount="75">
  <si>
    <t>Solteiro</t>
  </si>
  <si>
    <t>Masculino</t>
  </si>
  <si>
    <t>Preto</t>
  </si>
  <si>
    <t>Mais de 4 salários mínimos</t>
  </si>
  <si>
    <t>Não</t>
  </si>
  <si>
    <t>Nenhuma comorbidade</t>
  </si>
  <si>
    <t>Nenhum</t>
  </si>
  <si>
    <t xml:space="preserve">Nenhum </t>
  </si>
  <si>
    <t>Feminino</t>
  </si>
  <si>
    <t>Branco</t>
  </si>
  <si>
    <t>Não relatou</t>
  </si>
  <si>
    <t>Até 1 salário mínimo</t>
  </si>
  <si>
    <t>Diabetes</t>
  </si>
  <si>
    <t xml:space="preserve">Sim, insulina </t>
  </si>
  <si>
    <t>Pre diabete</t>
  </si>
  <si>
    <t>Loratadina e clenil</t>
  </si>
  <si>
    <t>Depressão</t>
  </si>
  <si>
    <t xml:space="preserve">Faço 
</t>
  </si>
  <si>
    <t>1 – 2 salários mínimos</t>
  </si>
  <si>
    <t>Casado</t>
  </si>
  <si>
    <t>Ansiedade</t>
  </si>
  <si>
    <t>Divorciado</t>
  </si>
  <si>
    <t xml:space="preserve">Nenhum nenhuma </t>
  </si>
  <si>
    <t xml:space="preserve">Não </t>
  </si>
  <si>
    <t>3 – 4 salários mínimos</t>
  </si>
  <si>
    <t>hipertensão arterial</t>
  </si>
  <si>
    <t>Asiático</t>
  </si>
  <si>
    <t>Nao</t>
  </si>
  <si>
    <t xml:space="preserve">Indapamida </t>
  </si>
  <si>
    <t xml:space="preserve">Uso contínuo 
Ante alérgico </t>
  </si>
  <si>
    <t>não</t>
  </si>
  <si>
    <t>Diabetes, hipertensão arterial, Ansiedade</t>
  </si>
  <si>
    <t xml:space="preserve">gliclazida e losatana </t>
  </si>
  <si>
    <t>Diabetes, hipertensão arterial</t>
  </si>
  <si>
    <t>gliclazida</t>
  </si>
  <si>
    <t>Ex-tabagista</t>
  </si>
  <si>
    <t>Sim, Insulina</t>
  </si>
  <si>
    <t>nenhum</t>
  </si>
  <si>
    <t>hipertensão arterial, Dislipidemia, Ansiedade, Ex-tabagista</t>
  </si>
  <si>
    <t>Sim, Remedio para pressão - Losartana e Alordipina</t>
  </si>
  <si>
    <t>Diabetes, Dislipidemia, Ansiedade, Tabagismo</t>
  </si>
  <si>
    <t>Metiformina, Cevastatina, Alopodinol, Tiamina, Colchicina e colirio</t>
  </si>
  <si>
    <t>Ansiedade, Ex-tabagista</t>
  </si>
  <si>
    <t>donarem (ansiedade), Rosuvastatina, Levotiroxina em jejum, vitamina D e probiotico</t>
  </si>
  <si>
    <t>hipertensão arterial, Ansiedade, Ex-tabagista</t>
  </si>
  <si>
    <t>Inalapril, Hidroclorotiazida, levotiroxina, apropina (esclerose) e colirio</t>
  </si>
  <si>
    <t>hipertensão arterial, Ansiedade</t>
  </si>
  <si>
    <t>Medicamentos para pressão</t>
  </si>
  <si>
    <t>Remédio de pressão alta e diabetes (não lembra o nome)</t>
  </si>
  <si>
    <t>NENHUM</t>
  </si>
  <si>
    <t>hipertensão arterial, Dislipidemia, Ansiedade</t>
  </si>
  <si>
    <t>Cálcio para osteoporose, Usa remédio para gastrite e labirinteopatia e usa para tireoide</t>
  </si>
  <si>
    <t>Lozartona</t>
  </si>
  <si>
    <t>Benicar, Pressate</t>
  </si>
  <si>
    <t>Nem 1</t>
  </si>
  <si>
    <t>Nenhum.</t>
  </si>
  <si>
    <t>Nem um</t>
  </si>
  <si>
    <t>Sim, Glifage para diabete</t>
  </si>
  <si>
    <t>id</t>
  </si>
  <si>
    <t>idade</t>
  </si>
  <si>
    <t>estado_civil</t>
  </si>
  <si>
    <t>sexo</t>
  </si>
  <si>
    <t>raca</t>
  </si>
  <si>
    <t>renda</t>
  </si>
  <si>
    <t>comorbidades</t>
  </si>
  <si>
    <t>peso_kg</t>
  </si>
  <si>
    <t>estatura_cm</t>
  </si>
  <si>
    <t>tug_1</t>
  </si>
  <si>
    <t>tug_2</t>
  </si>
  <si>
    <t>ts_1</t>
  </si>
  <si>
    <t>ts_2</t>
  </si>
  <si>
    <t>medicamentos</t>
  </si>
  <si>
    <t>baixa_visao</t>
  </si>
  <si>
    <t>cego</t>
  </si>
  <si>
    <t>imc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</si>
</sst>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9" formatCode="0.0000"/>
  </numFmts>
  <fonts count="3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u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ostas ao formulário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4FE20-C606-4B05-B9CB-07AC5D93E8AA}">
  <dimension ref="A1:Q54"/>
  <sheetViews>
    <sheetView tabSelected="1" topLeftCell="I16" workbookViewId="0">
      <selection activeCell="N2" sqref="N2:O49"/>
    </sheetView>
  </sheetViews>
  <sheetFormatPr defaultRowHeight="12.5" x14ac:dyDescent="0.25"/>
  <cols>
    <col min="1" max="1" width="2.81640625" style="5" customWidth="1"/>
    <col min="2" max="2" width="5.81640625" style="5" bestFit="1" customWidth="1"/>
    <col min="3" max="3" width="11.1796875" style="5" bestFit="1" customWidth="1"/>
    <col min="4" max="4" width="9" style="5" bestFit="1" customWidth="1"/>
    <col min="5" max="5" width="7.36328125" style="5" bestFit="1" customWidth="1"/>
    <col min="6" max="6" width="23" style="5" bestFit="1" customWidth="1"/>
    <col min="7" max="7" width="15.81640625" style="5" bestFit="1" customWidth="1"/>
    <col min="8" max="8" width="9.6328125" style="5" bestFit="1" customWidth="1"/>
    <col min="9" max="9" width="48.36328125" style="5" bestFit="1" customWidth="1"/>
    <col min="10" max="10" width="72.453125" style="5" bestFit="1" customWidth="1"/>
    <col min="11" max="11" width="8.08984375" style="5" bestFit="1" customWidth="1"/>
    <col min="12" max="12" width="11.453125" style="5" bestFit="1" customWidth="1"/>
    <col min="13" max="13" width="8.54296875" style="5" bestFit="1" customWidth="1"/>
    <col min="14" max="14" width="8.36328125" style="5" bestFit="1" customWidth="1"/>
    <col min="15" max="15" width="12.08984375" style="5" bestFit="1" customWidth="1"/>
    <col min="16" max="17" width="7.36328125" style="5" bestFit="1" customWidth="1"/>
    <col min="18" max="16384" width="8.7265625" style="5"/>
  </cols>
  <sheetData>
    <row r="1" spans="1:17" ht="13" x14ac:dyDescent="0.3">
      <c r="A1" s="6" t="s">
        <v>58</v>
      </c>
      <c r="B1" s="6" t="s">
        <v>59</v>
      </c>
      <c r="C1" s="6" t="s">
        <v>60</v>
      </c>
      <c r="D1" s="6" t="s">
        <v>61</v>
      </c>
      <c r="E1" s="6" t="s">
        <v>62</v>
      </c>
      <c r="F1" s="6" t="s">
        <v>63</v>
      </c>
      <c r="G1" s="6" t="s">
        <v>72</v>
      </c>
      <c r="H1" s="6" t="s">
        <v>73</v>
      </c>
      <c r="I1" s="6" t="s">
        <v>64</v>
      </c>
      <c r="J1" s="6" t="s">
        <v>71</v>
      </c>
      <c r="K1" s="6" t="s">
        <v>65</v>
      </c>
      <c r="L1" s="6" t="s">
        <v>66</v>
      </c>
      <c r="M1" s="6" t="s">
        <v>74</v>
      </c>
      <c r="N1" s="6" t="s">
        <v>67</v>
      </c>
      <c r="O1" s="6" t="s">
        <v>68</v>
      </c>
      <c r="P1" s="6" t="s">
        <v>69</v>
      </c>
      <c r="Q1" s="6" t="s">
        <v>70</v>
      </c>
    </row>
    <row r="2" spans="1:17" x14ac:dyDescent="0.25">
      <c r="A2" s="2">
        <v>5</v>
      </c>
      <c r="B2" s="2">
        <v>19</v>
      </c>
      <c r="C2" s="2" t="s">
        <v>0</v>
      </c>
      <c r="D2" s="2" t="s">
        <v>8</v>
      </c>
      <c r="E2" s="2" t="s">
        <v>9</v>
      </c>
      <c r="F2" s="2" t="s">
        <v>11</v>
      </c>
      <c r="G2" s="2">
        <v>1</v>
      </c>
      <c r="H2" s="2">
        <v>0</v>
      </c>
      <c r="I2" s="2" t="s">
        <v>14</v>
      </c>
      <c r="J2" s="2" t="s">
        <v>15</v>
      </c>
      <c r="K2" s="3">
        <v>55</v>
      </c>
      <c r="L2" s="2">
        <v>158</v>
      </c>
      <c r="M2" s="4">
        <v>22.031725684986377</v>
      </c>
      <c r="N2" s="4">
        <v>8.65</v>
      </c>
      <c r="O2" s="4">
        <v>6.54</v>
      </c>
      <c r="P2" s="7">
        <v>15</v>
      </c>
      <c r="Q2" s="7">
        <v>18</v>
      </c>
    </row>
    <row r="3" spans="1:17" x14ac:dyDescent="0.25">
      <c r="A3" s="2">
        <v>9</v>
      </c>
      <c r="B3" s="2">
        <v>18</v>
      </c>
      <c r="C3" s="2" t="s">
        <v>0</v>
      </c>
      <c r="D3" s="2" t="s">
        <v>8</v>
      </c>
      <c r="E3" s="2" t="s">
        <v>2</v>
      </c>
      <c r="F3" s="2" t="s">
        <v>11</v>
      </c>
      <c r="G3" s="2">
        <v>1</v>
      </c>
      <c r="H3" s="2">
        <v>0</v>
      </c>
      <c r="I3" s="2" t="s">
        <v>20</v>
      </c>
      <c r="J3" s="2" t="s">
        <v>7</v>
      </c>
      <c r="K3" s="3">
        <v>70</v>
      </c>
      <c r="L3" s="2">
        <v>171</v>
      </c>
      <c r="M3" s="4">
        <v>23.938989774631512</v>
      </c>
      <c r="N3" s="4">
        <v>6.09</v>
      </c>
      <c r="O3" s="4">
        <v>5.51</v>
      </c>
      <c r="P3" s="7">
        <v>11</v>
      </c>
      <c r="Q3" s="7">
        <v>13</v>
      </c>
    </row>
    <row r="4" spans="1:17" x14ac:dyDescent="0.25">
      <c r="A4" s="2">
        <v>10</v>
      </c>
      <c r="B4" s="2">
        <v>62</v>
      </c>
      <c r="C4" s="2" t="s">
        <v>21</v>
      </c>
      <c r="D4" s="2" t="s">
        <v>1</v>
      </c>
      <c r="E4" s="2" t="s">
        <v>9</v>
      </c>
      <c r="F4" s="2" t="s">
        <v>18</v>
      </c>
      <c r="G4" s="2">
        <v>1</v>
      </c>
      <c r="H4" s="2">
        <v>0</v>
      </c>
      <c r="I4" s="2" t="s">
        <v>5</v>
      </c>
      <c r="J4" s="2" t="s">
        <v>22</v>
      </c>
      <c r="K4" s="3">
        <v>85</v>
      </c>
      <c r="L4" s="2">
        <v>180</v>
      </c>
      <c r="M4" s="4">
        <v>26.234567901234566</v>
      </c>
      <c r="N4" s="4">
        <v>7.89</v>
      </c>
      <c r="O4" s="4">
        <v>9.77</v>
      </c>
      <c r="P4" s="7">
        <v>14</v>
      </c>
      <c r="Q4" s="7">
        <v>15</v>
      </c>
    </row>
    <row r="5" spans="1:17" x14ac:dyDescent="0.25">
      <c r="A5" s="2">
        <v>11</v>
      </c>
      <c r="B5" s="2">
        <v>42</v>
      </c>
      <c r="C5" s="2" t="s">
        <v>0</v>
      </c>
      <c r="D5" s="2" t="s">
        <v>1</v>
      </c>
      <c r="E5" s="2" t="s">
        <v>2</v>
      </c>
      <c r="F5" s="2" t="s">
        <v>18</v>
      </c>
      <c r="G5" s="2">
        <v>1</v>
      </c>
      <c r="H5" s="2">
        <v>0</v>
      </c>
      <c r="I5" s="2" t="s">
        <v>5</v>
      </c>
      <c r="J5" s="2" t="s">
        <v>23</v>
      </c>
      <c r="K5" s="3">
        <v>105</v>
      </c>
      <c r="L5" s="2">
        <v>168</v>
      </c>
      <c r="M5" s="4">
        <v>37.202380952380956</v>
      </c>
      <c r="N5" s="4">
        <v>12.8</v>
      </c>
      <c r="O5" s="4">
        <v>8.75</v>
      </c>
      <c r="P5" s="7">
        <v>12</v>
      </c>
      <c r="Q5" s="7">
        <v>15</v>
      </c>
    </row>
    <row r="6" spans="1:17" x14ac:dyDescent="0.25">
      <c r="A6" s="2">
        <v>17</v>
      </c>
      <c r="B6" s="2">
        <v>42</v>
      </c>
      <c r="C6" s="2" t="s">
        <v>0</v>
      </c>
      <c r="D6" s="2" t="s">
        <v>1</v>
      </c>
      <c r="E6" s="2" t="s">
        <v>2</v>
      </c>
      <c r="F6" s="2" t="s">
        <v>11</v>
      </c>
      <c r="G6" s="2">
        <v>1</v>
      </c>
      <c r="H6" s="2">
        <v>0</v>
      </c>
      <c r="I6" s="2" t="s">
        <v>5</v>
      </c>
      <c r="J6" s="2" t="s">
        <v>4</v>
      </c>
      <c r="K6" s="3">
        <v>75</v>
      </c>
      <c r="L6" s="2">
        <v>165</v>
      </c>
      <c r="M6" s="4">
        <v>27.548209366391188</v>
      </c>
      <c r="N6" s="4">
        <v>10</v>
      </c>
      <c r="O6" s="4">
        <v>8.1</v>
      </c>
      <c r="P6" s="7">
        <v>10</v>
      </c>
      <c r="Q6" s="7">
        <v>12</v>
      </c>
    </row>
    <row r="7" spans="1:17" x14ac:dyDescent="0.25">
      <c r="A7" s="2">
        <v>22</v>
      </c>
      <c r="B7" s="2">
        <v>69</v>
      </c>
      <c r="C7" s="2" t="s">
        <v>0</v>
      </c>
      <c r="D7" s="2" t="s">
        <v>1</v>
      </c>
      <c r="E7" s="2" t="s">
        <v>2</v>
      </c>
      <c r="F7" s="2" t="s">
        <v>18</v>
      </c>
      <c r="G7" s="2">
        <v>1</v>
      </c>
      <c r="H7" s="2">
        <v>0</v>
      </c>
      <c r="I7" s="2" t="s">
        <v>33</v>
      </c>
      <c r="J7" s="2" t="s">
        <v>34</v>
      </c>
      <c r="K7" s="3">
        <v>70</v>
      </c>
      <c r="L7" s="2">
        <v>176</v>
      </c>
      <c r="M7" s="4">
        <v>22.598140495867771</v>
      </c>
      <c r="N7" s="4">
        <v>12.8</v>
      </c>
      <c r="O7" s="4">
        <v>11.5</v>
      </c>
      <c r="P7" s="7">
        <v>4</v>
      </c>
      <c r="Q7" s="7">
        <v>6</v>
      </c>
    </row>
    <row r="8" spans="1:17" x14ac:dyDescent="0.25">
      <c r="A8" s="2">
        <v>24</v>
      </c>
      <c r="B8" s="2">
        <v>44</v>
      </c>
      <c r="C8" s="2" t="s">
        <v>0</v>
      </c>
      <c r="D8" s="2" t="s">
        <v>8</v>
      </c>
      <c r="E8" s="2" t="s">
        <v>9</v>
      </c>
      <c r="F8" s="2" t="s">
        <v>24</v>
      </c>
      <c r="G8" s="2">
        <v>1</v>
      </c>
      <c r="H8" s="2">
        <v>0</v>
      </c>
      <c r="I8" s="2" t="s">
        <v>35</v>
      </c>
      <c r="J8" s="2"/>
      <c r="K8" s="3">
        <v>89</v>
      </c>
      <c r="L8" s="2">
        <v>175</v>
      </c>
      <c r="M8" s="4">
        <v>29.061224489795919</v>
      </c>
      <c r="N8" s="4">
        <v>8.7799999999999994</v>
      </c>
      <c r="O8" s="4">
        <v>8.18</v>
      </c>
      <c r="P8" s="7">
        <v>13</v>
      </c>
      <c r="Q8" s="7">
        <v>15</v>
      </c>
    </row>
    <row r="9" spans="1:17" x14ac:dyDescent="0.25">
      <c r="A9" s="2">
        <v>25</v>
      </c>
      <c r="B9" s="2">
        <v>51</v>
      </c>
      <c r="C9" s="2" t="s">
        <v>21</v>
      </c>
      <c r="D9" s="2" t="s">
        <v>8</v>
      </c>
      <c r="E9" s="2" t="s">
        <v>9</v>
      </c>
      <c r="F9" s="2" t="s">
        <v>18</v>
      </c>
      <c r="G9" s="2">
        <v>1</v>
      </c>
      <c r="H9" s="2">
        <v>0</v>
      </c>
      <c r="I9" s="2" t="s">
        <v>31</v>
      </c>
      <c r="J9" s="2" t="s">
        <v>36</v>
      </c>
      <c r="K9" s="3">
        <v>68</v>
      </c>
      <c r="L9" s="2">
        <v>155</v>
      </c>
      <c r="M9" s="4">
        <v>28.303850156087407</v>
      </c>
      <c r="N9" s="4">
        <v>8.64</v>
      </c>
      <c r="O9" s="4">
        <v>7.03</v>
      </c>
      <c r="P9" s="7">
        <v>8</v>
      </c>
      <c r="Q9" s="7">
        <v>11</v>
      </c>
    </row>
    <row r="10" spans="1:17" x14ac:dyDescent="0.25">
      <c r="A10" s="2">
        <v>27</v>
      </c>
      <c r="B10" s="2">
        <v>45</v>
      </c>
      <c r="C10" s="2" t="s">
        <v>19</v>
      </c>
      <c r="D10" s="2" t="s">
        <v>1</v>
      </c>
      <c r="E10" s="2" t="s">
        <v>9</v>
      </c>
      <c r="F10" s="2" t="s">
        <v>3</v>
      </c>
      <c r="G10" s="2">
        <v>1</v>
      </c>
      <c r="H10" s="2">
        <v>0</v>
      </c>
      <c r="I10" s="2" t="s">
        <v>5</v>
      </c>
      <c r="J10" s="2"/>
      <c r="K10" s="3">
        <v>84</v>
      </c>
      <c r="L10" s="2">
        <v>163</v>
      </c>
      <c r="M10" s="4">
        <v>31.615792841281195</v>
      </c>
      <c r="N10" s="4">
        <v>8.7100000000000009</v>
      </c>
      <c r="O10" s="4">
        <v>7.99</v>
      </c>
      <c r="P10" s="7">
        <v>10</v>
      </c>
      <c r="Q10" s="7">
        <v>12</v>
      </c>
    </row>
    <row r="11" spans="1:17" x14ac:dyDescent="0.25">
      <c r="A11" s="2">
        <v>44</v>
      </c>
      <c r="B11" s="2">
        <v>27</v>
      </c>
      <c r="C11" s="2" t="s">
        <v>0</v>
      </c>
      <c r="D11" s="2" t="s">
        <v>1</v>
      </c>
      <c r="E11" s="2" t="s">
        <v>2</v>
      </c>
      <c r="F11" s="2" t="s">
        <v>3</v>
      </c>
      <c r="G11" s="2">
        <v>1</v>
      </c>
      <c r="H11" s="2">
        <v>0</v>
      </c>
      <c r="I11" s="2" t="s">
        <v>5</v>
      </c>
      <c r="J11" s="2" t="s">
        <v>54</v>
      </c>
      <c r="K11" s="3">
        <v>95</v>
      </c>
      <c r="L11" s="2">
        <v>175</v>
      </c>
      <c r="M11" s="4">
        <v>31.020408163265305</v>
      </c>
      <c r="N11" s="4">
        <v>5.8</v>
      </c>
      <c r="O11" s="4">
        <v>5.3</v>
      </c>
      <c r="P11" s="7">
        <v>10</v>
      </c>
      <c r="Q11" s="7">
        <v>14</v>
      </c>
    </row>
    <row r="12" spans="1:17" x14ac:dyDescent="0.25">
      <c r="A12" s="2">
        <v>8</v>
      </c>
      <c r="B12" s="2">
        <v>55</v>
      </c>
      <c r="C12" s="2" t="s">
        <v>19</v>
      </c>
      <c r="D12" s="2" t="s">
        <v>8</v>
      </c>
      <c r="E12" s="2" t="s">
        <v>9</v>
      </c>
      <c r="F12" s="2" t="s">
        <v>10</v>
      </c>
      <c r="G12" s="2">
        <v>1</v>
      </c>
      <c r="H12" s="2">
        <v>0</v>
      </c>
      <c r="I12" s="2" t="s">
        <v>5</v>
      </c>
      <c r="J12" s="2"/>
      <c r="K12" s="3">
        <v>56</v>
      </c>
      <c r="L12" s="2">
        <v>154</v>
      </c>
      <c r="M12" s="4">
        <v>23.61275088547816</v>
      </c>
      <c r="N12" s="4">
        <v>14.2</v>
      </c>
      <c r="O12" s="4">
        <v>10.01</v>
      </c>
      <c r="P12" s="7">
        <v>6</v>
      </c>
      <c r="Q12" s="7">
        <v>7</v>
      </c>
    </row>
    <row r="13" spans="1:17" x14ac:dyDescent="0.25">
      <c r="A13" s="2">
        <v>14</v>
      </c>
      <c r="B13" s="2">
        <v>41</v>
      </c>
      <c r="C13" s="2" t="s">
        <v>19</v>
      </c>
      <c r="D13" s="2" t="s">
        <v>1</v>
      </c>
      <c r="E13" s="2" t="s">
        <v>9</v>
      </c>
      <c r="F13" s="2" t="s">
        <v>24</v>
      </c>
      <c r="G13" s="2">
        <v>1</v>
      </c>
      <c r="H13" s="2">
        <v>0</v>
      </c>
      <c r="I13" s="2" t="s">
        <v>25</v>
      </c>
      <c r="J13" s="2" t="s">
        <v>28</v>
      </c>
      <c r="K13" s="3">
        <v>85</v>
      </c>
      <c r="L13" s="2">
        <v>176</v>
      </c>
      <c r="M13" s="4">
        <v>27.440599173553721</v>
      </c>
      <c r="N13" s="4">
        <v>9.1</v>
      </c>
      <c r="O13" s="4">
        <v>7.72</v>
      </c>
      <c r="P13" s="7">
        <v>12</v>
      </c>
      <c r="Q13" s="7">
        <v>12</v>
      </c>
    </row>
    <row r="14" spans="1:17" x14ac:dyDescent="0.25">
      <c r="A14" s="2">
        <v>16</v>
      </c>
      <c r="B14" s="2">
        <v>38</v>
      </c>
      <c r="C14" s="2" t="s">
        <v>0</v>
      </c>
      <c r="D14" s="2" t="s">
        <v>1</v>
      </c>
      <c r="E14" s="2" t="s">
        <v>2</v>
      </c>
      <c r="F14" s="2" t="s">
        <v>11</v>
      </c>
      <c r="G14" s="2">
        <v>1</v>
      </c>
      <c r="H14" s="2">
        <v>0</v>
      </c>
      <c r="I14" s="2" t="s">
        <v>5</v>
      </c>
      <c r="J14" s="2" t="s">
        <v>6</v>
      </c>
      <c r="K14" s="3">
        <v>70</v>
      </c>
      <c r="L14" s="2">
        <v>171</v>
      </c>
      <c r="M14" s="4">
        <v>23.938989774631512</v>
      </c>
      <c r="N14" s="4">
        <v>7.81</v>
      </c>
      <c r="O14" s="4">
        <v>7.08</v>
      </c>
      <c r="P14" s="7">
        <v>12</v>
      </c>
      <c r="Q14" s="7">
        <v>14</v>
      </c>
    </row>
    <row r="15" spans="1:17" x14ac:dyDescent="0.25">
      <c r="A15" s="2">
        <v>19</v>
      </c>
      <c r="B15" s="2">
        <v>34</v>
      </c>
      <c r="C15" s="2" t="s">
        <v>0</v>
      </c>
      <c r="D15" s="2" t="s">
        <v>1</v>
      </c>
      <c r="E15" s="2" t="s">
        <v>9</v>
      </c>
      <c r="F15" s="2" t="s">
        <v>18</v>
      </c>
      <c r="G15" s="2">
        <v>1</v>
      </c>
      <c r="H15" s="2">
        <v>0</v>
      </c>
      <c r="I15" s="2" t="s">
        <v>5</v>
      </c>
      <c r="J15" s="2" t="s">
        <v>30</v>
      </c>
      <c r="K15" s="3">
        <v>74</v>
      </c>
      <c r="L15" s="2">
        <v>169</v>
      </c>
      <c r="M15" s="4">
        <v>25.909456951787405</v>
      </c>
      <c r="N15" s="4">
        <v>8.84</v>
      </c>
      <c r="O15" s="4">
        <v>7.4</v>
      </c>
      <c r="P15" s="7">
        <v>7</v>
      </c>
      <c r="Q15" s="7">
        <v>8</v>
      </c>
    </row>
    <row r="16" spans="1:17" x14ac:dyDescent="0.25">
      <c r="A16" s="2">
        <v>40</v>
      </c>
      <c r="B16" s="2">
        <v>18</v>
      </c>
      <c r="C16" s="2" t="s">
        <v>0</v>
      </c>
      <c r="D16" s="2" t="s">
        <v>8</v>
      </c>
      <c r="E16" s="2" t="s">
        <v>9</v>
      </c>
      <c r="F16" s="2" t="s">
        <v>18</v>
      </c>
      <c r="G16" s="2">
        <v>1</v>
      </c>
      <c r="H16" s="2">
        <v>0</v>
      </c>
      <c r="I16" s="2" t="s">
        <v>20</v>
      </c>
      <c r="J16" s="2" t="s">
        <v>37</v>
      </c>
      <c r="K16" s="3">
        <v>105</v>
      </c>
      <c r="L16" s="2">
        <v>166</v>
      </c>
      <c r="M16" s="4">
        <v>38.104224125417332</v>
      </c>
      <c r="N16" s="4">
        <v>12</v>
      </c>
      <c r="O16" s="4">
        <v>7.28</v>
      </c>
      <c r="P16" s="7">
        <v>10</v>
      </c>
      <c r="Q16" s="7">
        <v>12</v>
      </c>
    </row>
    <row r="17" spans="1:17" x14ac:dyDescent="0.25">
      <c r="A17" s="2">
        <v>41</v>
      </c>
      <c r="B17" s="2">
        <v>34</v>
      </c>
      <c r="C17" s="2" t="s">
        <v>0</v>
      </c>
      <c r="D17" s="2" t="s">
        <v>1</v>
      </c>
      <c r="E17" s="2" t="s">
        <v>2</v>
      </c>
      <c r="F17" s="2" t="s">
        <v>24</v>
      </c>
      <c r="G17" s="2">
        <v>1</v>
      </c>
      <c r="H17" s="2">
        <v>0</v>
      </c>
      <c r="I17" s="2" t="s">
        <v>20</v>
      </c>
      <c r="J17" s="2" t="s">
        <v>37</v>
      </c>
      <c r="K17" s="3">
        <v>76</v>
      </c>
      <c r="L17" s="2">
        <v>172</v>
      </c>
      <c r="M17" s="4">
        <v>25.689561925365066</v>
      </c>
      <c r="N17" s="4">
        <v>11.3</v>
      </c>
      <c r="O17" s="4">
        <v>7.66</v>
      </c>
      <c r="P17" s="7">
        <v>14</v>
      </c>
      <c r="Q17" s="7">
        <v>16</v>
      </c>
    </row>
    <row r="18" spans="1:17" x14ac:dyDescent="0.25">
      <c r="A18" s="2">
        <v>48</v>
      </c>
      <c r="B18" s="2">
        <v>59</v>
      </c>
      <c r="C18" s="2" t="s">
        <v>19</v>
      </c>
      <c r="D18" s="2" t="s">
        <v>8</v>
      </c>
      <c r="E18" s="2" t="s">
        <v>9</v>
      </c>
      <c r="F18" s="2" t="s">
        <v>24</v>
      </c>
      <c r="G18" s="2">
        <v>1</v>
      </c>
      <c r="H18" s="2">
        <v>0</v>
      </c>
      <c r="I18" s="2" t="s">
        <v>12</v>
      </c>
      <c r="J18" s="2" t="s">
        <v>57</v>
      </c>
      <c r="K18" s="3">
        <v>72</v>
      </c>
      <c r="L18" s="2">
        <v>164</v>
      </c>
      <c r="M18" s="4">
        <v>26.769779892920884</v>
      </c>
      <c r="N18" s="4">
        <v>8.69</v>
      </c>
      <c r="O18" s="4">
        <v>7.52</v>
      </c>
      <c r="P18" s="7">
        <v>13</v>
      </c>
      <c r="Q18" s="7">
        <v>13</v>
      </c>
    </row>
    <row r="19" spans="1:17" x14ac:dyDescent="0.25">
      <c r="A19" s="2">
        <v>20</v>
      </c>
      <c r="B19" s="2">
        <v>68</v>
      </c>
      <c r="C19" s="2" t="s">
        <v>19</v>
      </c>
      <c r="D19" s="2" t="s">
        <v>8</v>
      </c>
      <c r="E19" s="2" t="s">
        <v>9</v>
      </c>
      <c r="F19" s="2" t="s">
        <v>18</v>
      </c>
      <c r="G19" s="2">
        <v>1</v>
      </c>
      <c r="H19" s="2">
        <v>0</v>
      </c>
      <c r="I19" s="2" t="s">
        <v>31</v>
      </c>
      <c r="J19" s="2" t="s">
        <v>32</v>
      </c>
      <c r="K19" s="3">
        <v>70</v>
      </c>
      <c r="L19" s="2">
        <v>170</v>
      </c>
      <c r="M19" s="4">
        <v>24.221453287197235</v>
      </c>
      <c r="N19" s="4">
        <v>6.4</v>
      </c>
      <c r="O19" s="4">
        <v>5.8</v>
      </c>
      <c r="P19" s="7">
        <v>5</v>
      </c>
      <c r="Q19" s="7">
        <v>6</v>
      </c>
    </row>
    <row r="20" spans="1:17" x14ac:dyDescent="0.25">
      <c r="A20" s="2">
        <v>21</v>
      </c>
      <c r="B20" s="2">
        <v>28</v>
      </c>
      <c r="C20" s="2" t="s">
        <v>21</v>
      </c>
      <c r="D20" s="2" t="s">
        <v>1</v>
      </c>
      <c r="E20" s="2" t="s">
        <v>2</v>
      </c>
      <c r="F20" s="2" t="s">
        <v>11</v>
      </c>
      <c r="G20" s="2">
        <v>1</v>
      </c>
      <c r="H20" s="2">
        <v>0</v>
      </c>
      <c r="I20" s="2" t="s">
        <v>5</v>
      </c>
      <c r="J20" s="2" t="s">
        <v>30</v>
      </c>
      <c r="K20" s="3">
        <v>75</v>
      </c>
      <c r="L20" s="2">
        <v>173</v>
      </c>
      <c r="M20" s="4">
        <v>25.059307026629689</v>
      </c>
      <c r="N20" s="4">
        <v>13.4</v>
      </c>
      <c r="O20" s="4">
        <v>12.2</v>
      </c>
      <c r="P20" s="7">
        <v>13</v>
      </c>
      <c r="Q20" s="7">
        <v>15</v>
      </c>
    </row>
    <row r="21" spans="1:17" x14ac:dyDescent="0.25">
      <c r="A21" s="2">
        <v>32</v>
      </c>
      <c r="B21" s="2">
        <v>33</v>
      </c>
      <c r="C21" s="2" t="s">
        <v>0</v>
      </c>
      <c r="D21" s="2" t="s">
        <v>8</v>
      </c>
      <c r="E21" s="2" t="s">
        <v>2</v>
      </c>
      <c r="F21" s="2" t="s">
        <v>24</v>
      </c>
      <c r="G21" s="2">
        <v>1</v>
      </c>
      <c r="H21" s="2">
        <v>0</v>
      </c>
      <c r="I21" s="2" t="s">
        <v>5</v>
      </c>
      <c r="J21" s="2" t="s">
        <v>37</v>
      </c>
      <c r="K21" s="3">
        <v>57</v>
      </c>
      <c r="L21" s="2">
        <v>167</v>
      </c>
      <c r="M21" s="4">
        <v>20.43816558499767</v>
      </c>
      <c r="N21" s="4">
        <v>9.84</v>
      </c>
      <c r="O21" s="4">
        <v>6.21</v>
      </c>
      <c r="P21" s="7">
        <v>10</v>
      </c>
      <c r="Q21" s="7">
        <v>12</v>
      </c>
    </row>
    <row r="22" spans="1:17" x14ac:dyDescent="0.25">
      <c r="A22" s="2">
        <v>3</v>
      </c>
      <c r="B22" s="2">
        <v>18</v>
      </c>
      <c r="C22" s="2" t="s">
        <v>0</v>
      </c>
      <c r="D22" s="2" t="s">
        <v>8</v>
      </c>
      <c r="E22" s="2" t="s">
        <v>9</v>
      </c>
      <c r="F22" s="2" t="s">
        <v>10</v>
      </c>
      <c r="G22" s="2">
        <v>1</v>
      </c>
      <c r="H22" s="2">
        <v>0</v>
      </c>
      <c r="I22" s="2" t="s">
        <v>5</v>
      </c>
      <c r="J22" s="2" t="s">
        <v>7</v>
      </c>
      <c r="K22" s="3">
        <v>56.5</v>
      </c>
      <c r="L22" s="2">
        <v>155</v>
      </c>
      <c r="M22" s="4">
        <v>23.51716961498439</v>
      </c>
      <c r="N22" s="4">
        <v>8.5500000000000007</v>
      </c>
      <c r="O22" s="4">
        <v>6.08</v>
      </c>
      <c r="P22" s="7">
        <v>10</v>
      </c>
      <c r="Q22" s="7">
        <v>13</v>
      </c>
    </row>
    <row r="23" spans="1:17" x14ac:dyDescent="0.25">
      <c r="A23" s="2">
        <v>1</v>
      </c>
      <c r="B23" s="2">
        <v>55</v>
      </c>
      <c r="C23" s="2" t="s">
        <v>0</v>
      </c>
      <c r="D23" s="2" t="s">
        <v>1</v>
      </c>
      <c r="E23" s="2" t="s">
        <v>2</v>
      </c>
      <c r="F23" s="2" t="s">
        <v>3</v>
      </c>
      <c r="G23" s="2">
        <v>0</v>
      </c>
      <c r="H23" s="2">
        <v>1</v>
      </c>
      <c r="I23" s="2" t="s">
        <v>5</v>
      </c>
      <c r="J23" s="2" t="s">
        <v>6</v>
      </c>
      <c r="K23" s="3">
        <v>99</v>
      </c>
      <c r="L23" s="2">
        <v>172</v>
      </c>
      <c r="M23" s="4">
        <v>33.464034613304491</v>
      </c>
      <c r="N23" s="4">
        <v>6.75</v>
      </c>
      <c r="O23" s="4">
        <v>5.13</v>
      </c>
      <c r="P23" s="7">
        <v>11</v>
      </c>
      <c r="Q23" s="7">
        <v>16</v>
      </c>
    </row>
    <row r="24" spans="1:17" x14ac:dyDescent="0.25">
      <c r="A24" s="2">
        <v>2</v>
      </c>
      <c r="B24" s="2">
        <v>32</v>
      </c>
      <c r="C24" s="2" t="s">
        <v>0</v>
      </c>
      <c r="D24" s="2" t="s">
        <v>1</v>
      </c>
      <c r="E24" s="2" t="s">
        <v>2</v>
      </c>
      <c r="F24" s="2" t="s">
        <v>3</v>
      </c>
      <c r="G24" s="2">
        <v>0</v>
      </c>
      <c r="H24" s="2">
        <v>1</v>
      </c>
      <c r="I24" s="2" t="s">
        <v>5</v>
      </c>
      <c r="J24" s="2" t="s">
        <v>7</v>
      </c>
      <c r="K24" s="3">
        <v>92</v>
      </c>
      <c r="L24" s="2">
        <v>183</v>
      </c>
      <c r="M24" s="4">
        <v>27.471707127713575</v>
      </c>
      <c r="N24" s="4">
        <v>9.7200000000000006</v>
      </c>
      <c r="O24" s="4">
        <v>9.6999999999999993</v>
      </c>
      <c r="P24" s="7">
        <v>15</v>
      </c>
      <c r="Q24" s="7">
        <v>18</v>
      </c>
    </row>
    <row r="25" spans="1:17" x14ac:dyDescent="0.25">
      <c r="A25" s="2">
        <v>4</v>
      </c>
      <c r="B25" s="2">
        <v>30</v>
      </c>
      <c r="C25" s="2" t="s">
        <v>0</v>
      </c>
      <c r="D25" s="2" t="s">
        <v>1</v>
      </c>
      <c r="E25" s="2" t="s">
        <v>9</v>
      </c>
      <c r="F25" s="2" t="s">
        <v>11</v>
      </c>
      <c r="G25" s="2">
        <v>0</v>
      </c>
      <c r="H25" s="2">
        <v>1</v>
      </c>
      <c r="I25" s="2" t="s">
        <v>12</v>
      </c>
      <c r="J25" s="2" t="s">
        <v>13</v>
      </c>
      <c r="K25" s="3">
        <v>60</v>
      </c>
      <c r="L25" s="2">
        <v>165</v>
      </c>
      <c r="M25" s="4">
        <v>22.03856749311295</v>
      </c>
      <c r="N25" s="4">
        <v>14</v>
      </c>
      <c r="O25" s="4">
        <v>12.3</v>
      </c>
      <c r="P25" s="7">
        <v>10</v>
      </c>
      <c r="Q25" s="7">
        <v>12</v>
      </c>
    </row>
    <row r="26" spans="1:17" x14ac:dyDescent="0.25">
      <c r="A26" s="2">
        <v>6</v>
      </c>
      <c r="B26" s="2">
        <v>20</v>
      </c>
      <c r="C26" s="2" t="s">
        <v>0</v>
      </c>
      <c r="D26" s="2" t="s">
        <v>1</v>
      </c>
      <c r="E26" s="2" t="s">
        <v>9</v>
      </c>
      <c r="F26" s="2" t="s">
        <v>3</v>
      </c>
      <c r="G26" s="2">
        <v>0</v>
      </c>
      <c r="H26" s="2">
        <v>1</v>
      </c>
      <c r="I26" s="2" t="s">
        <v>16</v>
      </c>
      <c r="J26" s="2" t="s">
        <v>17</v>
      </c>
      <c r="K26" s="3">
        <v>60</v>
      </c>
      <c r="L26" s="2">
        <v>180</v>
      </c>
      <c r="M26" s="4">
        <v>18.518518518518519</v>
      </c>
      <c r="N26" s="4">
        <v>6.93</v>
      </c>
      <c r="O26" s="4">
        <v>5.12</v>
      </c>
      <c r="P26" s="7">
        <v>11</v>
      </c>
      <c r="Q26" s="7">
        <v>15</v>
      </c>
    </row>
    <row r="27" spans="1:17" x14ac:dyDescent="0.25">
      <c r="A27" s="2">
        <v>7</v>
      </c>
      <c r="B27" s="2">
        <v>22</v>
      </c>
      <c r="C27" s="2" t="s">
        <v>0</v>
      </c>
      <c r="D27" s="2" t="s">
        <v>1</v>
      </c>
      <c r="E27" s="2" t="s">
        <v>9</v>
      </c>
      <c r="F27" s="2" t="s">
        <v>18</v>
      </c>
      <c r="G27" s="2">
        <v>0</v>
      </c>
      <c r="H27" s="2">
        <v>1</v>
      </c>
      <c r="I27" s="8" t="s">
        <v>5</v>
      </c>
      <c r="J27" s="2" t="s">
        <v>6</v>
      </c>
      <c r="K27" s="3">
        <v>57</v>
      </c>
      <c r="L27" s="2">
        <v>168</v>
      </c>
      <c r="M27" s="4">
        <v>20.195578231292519</v>
      </c>
      <c r="N27" s="4">
        <v>6.75</v>
      </c>
      <c r="O27" s="4">
        <v>5.13</v>
      </c>
      <c r="P27" s="7">
        <v>11</v>
      </c>
      <c r="Q27" s="7">
        <v>16</v>
      </c>
    </row>
    <row r="28" spans="1:17" x14ac:dyDescent="0.25">
      <c r="A28" s="2">
        <v>12</v>
      </c>
      <c r="B28" s="2">
        <v>43</v>
      </c>
      <c r="C28" s="2" t="s">
        <v>21</v>
      </c>
      <c r="D28" s="2" t="s">
        <v>1</v>
      </c>
      <c r="E28" s="2" t="s">
        <v>9</v>
      </c>
      <c r="F28" s="2" t="s">
        <v>24</v>
      </c>
      <c r="G28" s="2">
        <v>0</v>
      </c>
      <c r="H28" s="2">
        <v>1</v>
      </c>
      <c r="I28" s="2" t="s">
        <v>25</v>
      </c>
      <c r="J28" s="2"/>
      <c r="K28" s="3">
        <v>97</v>
      </c>
      <c r="L28" s="2">
        <v>180</v>
      </c>
      <c r="M28" s="4">
        <v>29.938271604938269</v>
      </c>
      <c r="N28" s="4">
        <v>6.7</v>
      </c>
      <c r="O28" s="4">
        <v>5.76</v>
      </c>
      <c r="P28" s="7">
        <v>10</v>
      </c>
      <c r="Q28" s="7">
        <v>14</v>
      </c>
    </row>
    <row r="29" spans="1:17" x14ac:dyDescent="0.25">
      <c r="A29" s="2">
        <v>13</v>
      </c>
      <c r="B29" s="2">
        <v>53</v>
      </c>
      <c r="C29" s="2" t="s">
        <v>21</v>
      </c>
      <c r="D29" s="2" t="s">
        <v>8</v>
      </c>
      <c r="E29" s="2" t="s">
        <v>26</v>
      </c>
      <c r="F29" s="2" t="s">
        <v>11</v>
      </c>
      <c r="G29" s="2">
        <v>0</v>
      </c>
      <c r="H29" s="2">
        <v>1</v>
      </c>
      <c r="I29" s="2" t="s">
        <v>12</v>
      </c>
      <c r="J29" s="2" t="s">
        <v>27</v>
      </c>
      <c r="K29" s="3">
        <v>68.2</v>
      </c>
      <c r="L29" s="2">
        <v>158</v>
      </c>
      <c r="M29" s="4">
        <v>27.319339849383109</v>
      </c>
      <c r="N29" s="4">
        <v>13.6</v>
      </c>
      <c r="O29" s="4">
        <v>9.43</v>
      </c>
      <c r="P29" s="7">
        <v>7</v>
      </c>
      <c r="Q29" s="7">
        <v>9</v>
      </c>
    </row>
    <row r="30" spans="1:17" x14ac:dyDescent="0.25">
      <c r="A30" s="2">
        <v>15</v>
      </c>
      <c r="B30" s="2">
        <v>21</v>
      </c>
      <c r="C30" s="2" t="s">
        <v>0</v>
      </c>
      <c r="D30" s="2" t="s">
        <v>1</v>
      </c>
      <c r="E30" s="2" t="s">
        <v>9</v>
      </c>
      <c r="F30" s="2" t="s">
        <v>11</v>
      </c>
      <c r="G30" s="2">
        <v>0</v>
      </c>
      <c r="H30" s="2">
        <v>1</v>
      </c>
      <c r="I30" s="2" t="s">
        <v>20</v>
      </c>
      <c r="J30" s="2" t="s">
        <v>29</v>
      </c>
      <c r="K30" s="3">
        <v>98</v>
      </c>
      <c r="L30" s="2">
        <v>180</v>
      </c>
      <c r="M30" s="4">
        <v>30.246913580246911</v>
      </c>
      <c r="N30" s="4">
        <v>15</v>
      </c>
      <c r="O30" s="4">
        <v>18.079999999999998</v>
      </c>
      <c r="P30" s="7">
        <v>6</v>
      </c>
      <c r="Q30" s="7">
        <v>7</v>
      </c>
    </row>
    <row r="31" spans="1:17" x14ac:dyDescent="0.25">
      <c r="A31" s="2">
        <v>18</v>
      </c>
      <c r="B31" s="2">
        <v>24</v>
      </c>
      <c r="C31" s="2" t="s">
        <v>0</v>
      </c>
      <c r="D31" s="2" t="s">
        <v>8</v>
      </c>
      <c r="E31" s="2" t="s">
        <v>9</v>
      </c>
      <c r="F31" s="2" t="s">
        <v>11</v>
      </c>
      <c r="G31" s="2">
        <v>0</v>
      </c>
      <c r="H31" s="2">
        <v>1</v>
      </c>
      <c r="I31" s="2" t="s">
        <v>5</v>
      </c>
      <c r="J31" s="2" t="s">
        <v>30</v>
      </c>
      <c r="K31" s="3">
        <v>50</v>
      </c>
      <c r="L31" s="2">
        <v>150</v>
      </c>
      <c r="M31" s="4">
        <v>22.222222222222221</v>
      </c>
      <c r="N31" s="4">
        <v>4.88</v>
      </c>
      <c r="O31" s="4">
        <v>4.5999999999999996</v>
      </c>
      <c r="P31" s="7">
        <v>10</v>
      </c>
      <c r="Q31" s="7">
        <v>11</v>
      </c>
    </row>
    <row r="32" spans="1:17" x14ac:dyDescent="0.25">
      <c r="A32" s="2">
        <v>23</v>
      </c>
      <c r="B32" s="2">
        <v>58</v>
      </c>
      <c r="C32" s="2" t="s">
        <v>21</v>
      </c>
      <c r="D32" s="2" t="s">
        <v>1</v>
      </c>
      <c r="E32" s="2" t="s">
        <v>2</v>
      </c>
      <c r="F32" s="2" t="s">
        <v>18</v>
      </c>
      <c r="G32" s="2">
        <v>0</v>
      </c>
      <c r="H32" s="2">
        <v>1</v>
      </c>
      <c r="I32" s="2" t="s">
        <v>5</v>
      </c>
      <c r="J32" s="2" t="s">
        <v>4</v>
      </c>
      <c r="K32" s="3">
        <v>77</v>
      </c>
      <c r="L32" s="2">
        <v>170</v>
      </c>
      <c r="M32" s="4">
        <v>26.643598615916957</v>
      </c>
      <c r="N32" s="4">
        <v>7.87</v>
      </c>
      <c r="O32" s="4">
        <v>6.78</v>
      </c>
      <c r="P32" s="7">
        <v>12</v>
      </c>
      <c r="Q32" s="7">
        <v>15</v>
      </c>
    </row>
    <row r="33" spans="1:17" x14ac:dyDescent="0.25">
      <c r="A33" s="2">
        <v>26</v>
      </c>
      <c r="B33" s="2">
        <v>58</v>
      </c>
      <c r="C33" s="2" t="s">
        <v>19</v>
      </c>
      <c r="D33" s="2" t="s">
        <v>1</v>
      </c>
      <c r="E33" s="2" t="s">
        <v>9</v>
      </c>
      <c r="F33" s="2" t="s">
        <v>24</v>
      </c>
      <c r="G33" s="2">
        <v>0</v>
      </c>
      <c r="H33" s="2">
        <v>1</v>
      </c>
      <c r="I33" s="2" t="s">
        <v>38</v>
      </c>
      <c r="J33" s="2" t="s">
        <v>39</v>
      </c>
      <c r="K33" s="3">
        <v>99</v>
      </c>
      <c r="L33" s="2">
        <v>170</v>
      </c>
      <c r="M33" s="4">
        <v>34.256055363321806</v>
      </c>
      <c r="N33" s="4">
        <v>10.199999999999999</v>
      </c>
      <c r="O33" s="4">
        <v>9.08</v>
      </c>
      <c r="P33" s="7">
        <v>11</v>
      </c>
      <c r="Q33" s="7">
        <v>13</v>
      </c>
    </row>
    <row r="34" spans="1:17" x14ac:dyDescent="0.25">
      <c r="A34" s="2">
        <v>28</v>
      </c>
      <c r="B34" s="2">
        <v>60</v>
      </c>
      <c r="C34" s="2" t="s">
        <v>0</v>
      </c>
      <c r="D34" s="2" t="s">
        <v>1</v>
      </c>
      <c r="E34" s="2" t="s">
        <v>2</v>
      </c>
      <c r="F34" s="2" t="s">
        <v>11</v>
      </c>
      <c r="G34" s="2">
        <v>0</v>
      </c>
      <c r="H34" s="2">
        <v>1</v>
      </c>
      <c r="I34" s="2" t="s">
        <v>40</v>
      </c>
      <c r="J34" s="2" t="s">
        <v>41</v>
      </c>
      <c r="K34" s="3">
        <v>80</v>
      </c>
      <c r="L34" s="2">
        <v>172</v>
      </c>
      <c r="M34" s="4">
        <v>27.041644131963228</v>
      </c>
      <c r="N34" s="4">
        <v>10.7</v>
      </c>
      <c r="O34" s="4">
        <v>8.9700000000000006</v>
      </c>
      <c r="P34" s="7">
        <v>11</v>
      </c>
      <c r="Q34" s="7">
        <v>14</v>
      </c>
    </row>
    <row r="35" spans="1:17" x14ac:dyDescent="0.25">
      <c r="A35" s="2">
        <v>29</v>
      </c>
      <c r="B35" s="2">
        <v>66</v>
      </c>
      <c r="C35" s="2" t="s">
        <v>19</v>
      </c>
      <c r="D35" s="2" t="s">
        <v>8</v>
      </c>
      <c r="E35" s="2" t="s">
        <v>9</v>
      </c>
      <c r="F35" s="2" t="s">
        <v>3</v>
      </c>
      <c r="G35" s="2">
        <v>0</v>
      </c>
      <c r="H35" s="2">
        <v>1</v>
      </c>
      <c r="I35" s="2" t="s">
        <v>42</v>
      </c>
      <c r="J35" s="2" t="s">
        <v>43</v>
      </c>
      <c r="K35" s="3">
        <v>80.5</v>
      </c>
      <c r="L35" s="2">
        <v>157</v>
      </c>
      <c r="M35" s="4">
        <v>32.658525700839789</v>
      </c>
      <c r="N35" s="4">
        <v>18.5</v>
      </c>
      <c r="O35" s="4">
        <v>15.9</v>
      </c>
      <c r="P35" s="7">
        <v>6</v>
      </c>
      <c r="Q35" s="7">
        <v>10</v>
      </c>
    </row>
    <row r="36" spans="1:17" x14ac:dyDescent="0.25">
      <c r="A36" s="2">
        <v>30</v>
      </c>
      <c r="B36" s="2">
        <v>65</v>
      </c>
      <c r="C36" s="2" t="s">
        <v>0</v>
      </c>
      <c r="D36" s="2" t="s">
        <v>8</v>
      </c>
      <c r="E36" s="2" t="s">
        <v>2</v>
      </c>
      <c r="F36" s="2" t="s">
        <v>3</v>
      </c>
      <c r="G36" s="2">
        <v>0</v>
      </c>
      <c r="H36" s="2">
        <v>1</v>
      </c>
      <c r="I36" s="2" t="s">
        <v>44</v>
      </c>
      <c r="J36" s="2" t="s">
        <v>45</v>
      </c>
      <c r="K36" s="3">
        <v>85</v>
      </c>
      <c r="L36" s="2">
        <v>155</v>
      </c>
      <c r="M36" s="4">
        <v>35.379812695109258</v>
      </c>
      <c r="N36" s="4">
        <v>19.8</v>
      </c>
      <c r="O36" s="4">
        <v>20.399999999999999</v>
      </c>
      <c r="P36" s="7">
        <v>7</v>
      </c>
      <c r="Q36" s="7">
        <v>10</v>
      </c>
    </row>
    <row r="37" spans="1:17" x14ac:dyDescent="0.25">
      <c r="A37" s="2">
        <v>31</v>
      </c>
      <c r="B37" s="2">
        <v>41</v>
      </c>
      <c r="C37" s="2" t="s">
        <v>0</v>
      </c>
      <c r="D37" s="2" t="s">
        <v>1</v>
      </c>
      <c r="E37" s="2" t="s">
        <v>2</v>
      </c>
      <c r="F37" s="2" t="s">
        <v>18</v>
      </c>
      <c r="G37" s="2">
        <v>0</v>
      </c>
      <c r="H37" s="2">
        <v>1</v>
      </c>
      <c r="I37" s="2" t="s">
        <v>46</v>
      </c>
      <c r="J37" s="2" t="s">
        <v>47</v>
      </c>
      <c r="K37" s="3">
        <v>70</v>
      </c>
      <c r="L37" s="2">
        <v>172</v>
      </c>
      <c r="M37" s="4">
        <v>23.661438615467823</v>
      </c>
      <c r="N37" s="4">
        <v>12.3</v>
      </c>
      <c r="O37" s="4">
        <v>9.65</v>
      </c>
      <c r="P37" s="7">
        <v>7</v>
      </c>
      <c r="Q37" s="7">
        <v>9</v>
      </c>
    </row>
    <row r="38" spans="1:17" x14ac:dyDescent="0.25">
      <c r="A38" s="2">
        <v>33</v>
      </c>
      <c r="B38" s="2">
        <v>49</v>
      </c>
      <c r="C38" s="2" t="s">
        <v>0</v>
      </c>
      <c r="D38" s="2" t="s">
        <v>1</v>
      </c>
      <c r="E38" s="2" t="s">
        <v>2</v>
      </c>
      <c r="F38" s="2" t="s">
        <v>11</v>
      </c>
      <c r="G38" s="2">
        <v>0</v>
      </c>
      <c r="H38" s="2">
        <v>1</v>
      </c>
      <c r="I38" s="2" t="s">
        <v>31</v>
      </c>
      <c r="J38" s="2" t="s">
        <v>48</v>
      </c>
      <c r="K38" s="3">
        <v>93</v>
      </c>
      <c r="L38" s="2">
        <v>180</v>
      </c>
      <c r="M38" s="4">
        <v>28.703703703703702</v>
      </c>
      <c r="N38" s="4">
        <v>11.9</v>
      </c>
      <c r="O38" s="4">
        <v>7.09</v>
      </c>
      <c r="P38" s="7">
        <v>11</v>
      </c>
      <c r="Q38" s="7">
        <v>15</v>
      </c>
    </row>
    <row r="39" spans="1:17" x14ac:dyDescent="0.25">
      <c r="A39" s="2">
        <v>34</v>
      </c>
      <c r="B39" s="2">
        <v>54</v>
      </c>
      <c r="C39" s="2" t="s">
        <v>21</v>
      </c>
      <c r="D39" s="2" t="s">
        <v>1</v>
      </c>
      <c r="E39" s="2" t="s">
        <v>9</v>
      </c>
      <c r="F39" s="2" t="s">
        <v>18</v>
      </c>
      <c r="G39" s="2">
        <v>0</v>
      </c>
      <c r="H39" s="2">
        <v>1</v>
      </c>
      <c r="I39" s="2" t="s">
        <v>5</v>
      </c>
      <c r="J39" s="2" t="s">
        <v>49</v>
      </c>
      <c r="K39" s="3">
        <v>78</v>
      </c>
      <c r="L39" s="2">
        <v>177</v>
      </c>
      <c r="M39" s="4">
        <v>24.897060231734173</v>
      </c>
      <c r="N39" s="4">
        <v>9.01</v>
      </c>
      <c r="O39" s="4">
        <v>8.59</v>
      </c>
      <c r="P39" s="7">
        <v>15</v>
      </c>
      <c r="Q39" s="7">
        <v>18</v>
      </c>
    </row>
    <row r="40" spans="1:17" x14ac:dyDescent="0.25">
      <c r="A40" s="2">
        <v>35</v>
      </c>
      <c r="B40" s="2">
        <v>40</v>
      </c>
      <c r="C40" s="2" t="s">
        <v>0</v>
      </c>
      <c r="D40" s="2" t="s">
        <v>8</v>
      </c>
      <c r="E40" s="2" t="s">
        <v>2</v>
      </c>
      <c r="F40" s="2" t="s">
        <v>11</v>
      </c>
      <c r="G40" s="2">
        <v>0</v>
      </c>
      <c r="H40" s="2">
        <v>1</v>
      </c>
      <c r="I40" s="2" t="s">
        <v>50</v>
      </c>
      <c r="J40" s="2" t="s">
        <v>4</v>
      </c>
      <c r="K40" s="3">
        <v>72</v>
      </c>
      <c r="L40" s="2">
        <v>146</v>
      </c>
      <c r="M40" s="4">
        <v>33.777444173390883</v>
      </c>
      <c r="N40" s="4">
        <v>13</v>
      </c>
      <c r="O40" s="4">
        <v>11</v>
      </c>
      <c r="P40" s="7">
        <v>12</v>
      </c>
      <c r="Q40" s="7">
        <v>14</v>
      </c>
    </row>
    <row r="41" spans="1:17" x14ac:dyDescent="0.25">
      <c r="A41" s="2">
        <v>36</v>
      </c>
      <c r="B41" s="2">
        <v>30</v>
      </c>
      <c r="C41" s="2" t="s">
        <v>0</v>
      </c>
      <c r="D41" s="2" t="s">
        <v>8</v>
      </c>
      <c r="E41" s="2" t="s">
        <v>2</v>
      </c>
      <c r="F41" s="2" t="s">
        <v>18</v>
      </c>
      <c r="G41" s="2">
        <v>0</v>
      </c>
      <c r="H41" s="2">
        <v>1</v>
      </c>
      <c r="I41" s="2" t="s">
        <v>5</v>
      </c>
      <c r="J41" s="2" t="s">
        <v>4</v>
      </c>
      <c r="K41" s="3">
        <v>80</v>
      </c>
      <c r="L41" s="2">
        <v>175</v>
      </c>
      <c r="M41" s="4">
        <v>26.122448979591837</v>
      </c>
      <c r="N41" s="4">
        <v>17</v>
      </c>
      <c r="O41" s="4">
        <v>12</v>
      </c>
      <c r="P41" s="7">
        <v>12</v>
      </c>
      <c r="Q41" s="7">
        <v>13</v>
      </c>
    </row>
    <row r="42" spans="1:17" x14ac:dyDescent="0.25">
      <c r="A42" s="2">
        <v>37</v>
      </c>
      <c r="B42" s="2">
        <v>20</v>
      </c>
      <c r="C42" s="2" t="s">
        <v>0</v>
      </c>
      <c r="D42" s="2" t="s">
        <v>1</v>
      </c>
      <c r="E42" s="2" t="s">
        <v>9</v>
      </c>
      <c r="F42" s="2" t="s">
        <v>24</v>
      </c>
      <c r="G42" s="2">
        <v>0</v>
      </c>
      <c r="H42" s="2">
        <v>1</v>
      </c>
      <c r="I42" s="2" t="s">
        <v>5</v>
      </c>
      <c r="J42" s="2" t="s">
        <v>37</v>
      </c>
      <c r="K42" s="3">
        <v>80.7</v>
      </c>
      <c r="L42" s="2">
        <v>169</v>
      </c>
      <c r="M42" s="4">
        <v>28.255313189314105</v>
      </c>
      <c r="N42" s="4">
        <v>7.87</v>
      </c>
      <c r="O42" s="4">
        <v>6.01</v>
      </c>
      <c r="P42" s="7">
        <v>11</v>
      </c>
      <c r="Q42" s="7">
        <v>17</v>
      </c>
    </row>
    <row r="43" spans="1:17" x14ac:dyDescent="0.25">
      <c r="A43" s="2">
        <v>38</v>
      </c>
      <c r="B43" s="2">
        <v>84</v>
      </c>
      <c r="C43" s="2" t="s">
        <v>0</v>
      </c>
      <c r="D43" s="2" t="s">
        <v>8</v>
      </c>
      <c r="E43" s="2" t="s">
        <v>9</v>
      </c>
      <c r="F43" s="2" t="s">
        <v>18</v>
      </c>
      <c r="G43" s="2">
        <v>0</v>
      </c>
      <c r="H43" s="2">
        <v>1</v>
      </c>
      <c r="I43" s="2" t="s">
        <v>5</v>
      </c>
      <c r="J43" s="2" t="s">
        <v>51</v>
      </c>
      <c r="K43" s="3">
        <v>47</v>
      </c>
      <c r="L43" s="2">
        <v>149</v>
      </c>
      <c r="M43" s="4">
        <v>21.170217557767668</v>
      </c>
      <c r="N43" s="4">
        <v>16</v>
      </c>
      <c r="O43" s="4">
        <v>14.84</v>
      </c>
      <c r="P43" s="7">
        <v>11</v>
      </c>
      <c r="Q43" s="7">
        <v>13</v>
      </c>
    </row>
    <row r="44" spans="1:17" x14ac:dyDescent="0.25">
      <c r="A44" s="2">
        <v>39</v>
      </c>
      <c r="B44" s="2">
        <v>54</v>
      </c>
      <c r="C44" s="2" t="s">
        <v>21</v>
      </c>
      <c r="D44" s="2" t="s">
        <v>1</v>
      </c>
      <c r="E44" s="2" t="s">
        <v>9</v>
      </c>
      <c r="F44" s="2" t="s">
        <v>24</v>
      </c>
      <c r="G44" s="2">
        <v>0</v>
      </c>
      <c r="H44" s="2">
        <v>1</v>
      </c>
      <c r="I44" s="2" t="s">
        <v>5</v>
      </c>
      <c r="J44" s="2" t="s">
        <v>52</v>
      </c>
      <c r="K44" s="3">
        <v>92</v>
      </c>
      <c r="L44" s="2">
        <v>166</v>
      </c>
      <c r="M44" s="4">
        <v>33.386558281318045</v>
      </c>
      <c r="N44" s="4">
        <v>10.7</v>
      </c>
      <c r="O44" s="4">
        <v>8.26</v>
      </c>
      <c r="P44" s="7">
        <v>14</v>
      </c>
      <c r="Q44" s="7">
        <v>15</v>
      </c>
    </row>
    <row r="45" spans="1:17" x14ac:dyDescent="0.25">
      <c r="A45" s="2">
        <v>42</v>
      </c>
      <c r="B45" s="2">
        <v>55</v>
      </c>
      <c r="C45" s="2" t="s">
        <v>21</v>
      </c>
      <c r="D45" s="2" t="s">
        <v>1</v>
      </c>
      <c r="E45" s="2" t="s">
        <v>9</v>
      </c>
      <c r="F45" s="2" t="s">
        <v>24</v>
      </c>
      <c r="G45" s="2">
        <v>0</v>
      </c>
      <c r="H45" s="2">
        <v>1</v>
      </c>
      <c r="I45" s="2" t="s">
        <v>25</v>
      </c>
      <c r="J45" s="2" t="s">
        <v>53</v>
      </c>
      <c r="K45" s="3">
        <v>84</v>
      </c>
      <c r="L45" s="2">
        <v>171</v>
      </c>
      <c r="M45" s="4">
        <v>28.726787729557817</v>
      </c>
      <c r="N45" s="4">
        <v>6.3</v>
      </c>
      <c r="O45" s="4">
        <v>5.88</v>
      </c>
      <c r="P45" s="7">
        <v>9</v>
      </c>
      <c r="Q45" s="7">
        <v>11</v>
      </c>
    </row>
    <row r="46" spans="1:17" x14ac:dyDescent="0.25">
      <c r="A46" s="2">
        <v>43</v>
      </c>
      <c r="B46" s="2">
        <v>22</v>
      </c>
      <c r="C46" s="2" t="s">
        <v>0</v>
      </c>
      <c r="D46" s="2" t="s">
        <v>1</v>
      </c>
      <c r="E46" s="2" t="s">
        <v>9</v>
      </c>
      <c r="F46" s="2" t="s">
        <v>24</v>
      </c>
      <c r="G46" s="2">
        <v>0</v>
      </c>
      <c r="H46" s="2">
        <v>1</v>
      </c>
      <c r="I46" s="2" t="s">
        <v>20</v>
      </c>
      <c r="J46" s="2" t="s">
        <v>7</v>
      </c>
      <c r="K46" s="3">
        <v>84</v>
      </c>
      <c r="L46" s="2">
        <v>170</v>
      </c>
      <c r="M46" s="4">
        <v>29.065743944636683</v>
      </c>
      <c r="N46" s="4">
        <v>9.77</v>
      </c>
      <c r="O46" s="4">
        <v>11.35</v>
      </c>
      <c r="P46" s="7">
        <v>15</v>
      </c>
      <c r="Q46" s="7">
        <v>17</v>
      </c>
    </row>
    <row r="47" spans="1:17" x14ac:dyDescent="0.25">
      <c r="A47" s="2">
        <v>45</v>
      </c>
      <c r="B47" s="2">
        <v>55</v>
      </c>
      <c r="C47" s="2" t="s">
        <v>0</v>
      </c>
      <c r="D47" s="2" t="s">
        <v>8</v>
      </c>
      <c r="E47" s="2" t="s">
        <v>26</v>
      </c>
      <c r="F47" s="2" t="s">
        <v>10</v>
      </c>
      <c r="G47" s="2">
        <v>0</v>
      </c>
      <c r="H47" s="2">
        <v>1</v>
      </c>
      <c r="I47" s="2" t="s">
        <v>5</v>
      </c>
      <c r="J47" s="2" t="s">
        <v>55</v>
      </c>
      <c r="K47" s="3">
        <v>70</v>
      </c>
      <c r="L47" s="2">
        <v>167</v>
      </c>
      <c r="M47" s="4">
        <v>25.099501595611173</v>
      </c>
      <c r="N47" s="4">
        <v>7.75</v>
      </c>
      <c r="O47" s="4">
        <v>7.48</v>
      </c>
      <c r="P47" s="7">
        <v>8</v>
      </c>
      <c r="Q47" s="7">
        <v>11</v>
      </c>
    </row>
    <row r="48" spans="1:17" x14ac:dyDescent="0.25">
      <c r="A48" s="2">
        <v>46</v>
      </c>
      <c r="B48" s="2">
        <v>39</v>
      </c>
      <c r="C48" s="2" t="s">
        <v>0</v>
      </c>
      <c r="D48" s="2" t="s">
        <v>8</v>
      </c>
      <c r="E48" s="2" t="s">
        <v>9</v>
      </c>
      <c r="F48" s="2" t="s">
        <v>24</v>
      </c>
      <c r="G48" s="2">
        <v>0</v>
      </c>
      <c r="H48" s="2">
        <v>1</v>
      </c>
      <c r="I48" s="2" t="s">
        <v>5</v>
      </c>
      <c r="J48" s="2" t="s">
        <v>56</v>
      </c>
      <c r="K48" s="3">
        <v>75.650000000000006</v>
      </c>
      <c r="L48" s="2">
        <v>165</v>
      </c>
      <c r="M48" s="4">
        <v>27.786960514233247</v>
      </c>
      <c r="N48" s="4">
        <v>6.26</v>
      </c>
      <c r="O48" s="4">
        <v>6.15</v>
      </c>
      <c r="P48" s="7">
        <v>14</v>
      </c>
      <c r="Q48" s="7">
        <v>18</v>
      </c>
    </row>
    <row r="49" spans="1:17" x14ac:dyDescent="0.25">
      <c r="A49" s="2">
        <v>47</v>
      </c>
      <c r="B49" s="2">
        <v>39</v>
      </c>
      <c r="C49" s="2" t="s">
        <v>0</v>
      </c>
      <c r="D49" s="2" t="s">
        <v>8</v>
      </c>
      <c r="E49" s="2" t="s">
        <v>9</v>
      </c>
      <c r="F49" s="2" t="s">
        <v>24</v>
      </c>
      <c r="G49" s="2">
        <v>0</v>
      </c>
      <c r="H49" s="2">
        <v>1</v>
      </c>
      <c r="I49" s="2" t="s">
        <v>5</v>
      </c>
      <c r="J49" s="2" t="s">
        <v>6</v>
      </c>
      <c r="K49" s="3">
        <v>65.2</v>
      </c>
      <c r="L49" s="2">
        <v>165</v>
      </c>
      <c r="M49" s="4">
        <v>23.948576675849406</v>
      </c>
      <c r="N49" s="4">
        <v>6.1</v>
      </c>
      <c r="O49" s="4">
        <v>5.8</v>
      </c>
      <c r="P49" s="7">
        <v>12</v>
      </c>
      <c r="Q49" s="7">
        <v>14</v>
      </c>
    </row>
    <row r="50" spans="1:17" x14ac:dyDescent="0.25">
      <c r="K50" s="1"/>
      <c r="L50" s="1"/>
      <c r="M50" s="1"/>
      <c r="N50" s="1">
        <f>MAX(N2:N49)</f>
        <v>19.8</v>
      </c>
      <c r="O50" s="1">
        <f t="shared" ref="O50:Q50" si="0">MAX(O2:O49)</f>
        <v>20.399999999999999</v>
      </c>
      <c r="P50" s="1">
        <f t="shared" si="0"/>
        <v>15</v>
      </c>
      <c r="Q50" s="1">
        <f t="shared" si="0"/>
        <v>18</v>
      </c>
    </row>
    <row r="51" spans="1:17" x14ac:dyDescent="0.25">
      <c r="N51" s="9">
        <f>MIN(N2:N49)</f>
        <v>4.88</v>
      </c>
      <c r="O51" s="9">
        <f t="shared" ref="O51:Q51" si="1">MIN(O2:O49)</f>
        <v>4.5999999999999996</v>
      </c>
      <c r="P51" s="9">
        <f t="shared" si="1"/>
        <v>4</v>
      </c>
      <c r="Q51" s="9">
        <f t="shared" si="1"/>
        <v>6</v>
      </c>
    </row>
    <row r="52" spans="1:17" x14ac:dyDescent="0.25">
      <c r="N52" s="9">
        <f>AVERAGE(N2:N49)</f>
        <v>10.117708333333335</v>
      </c>
      <c r="O52" s="9">
        <f t="shared" ref="O52:Q52" si="2">AVERAGE(O2:O49)</f>
        <v>8.6272916666666646</v>
      </c>
      <c r="P52" s="9">
        <f t="shared" si="2"/>
        <v>10.583333333333334</v>
      </c>
      <c r="Q52" s="9">
        <f t="shared" si="2"/>
        <v>13</v>
      </c>
    </row>
    <row r="53" spans="1:17" x14ac:dyDescent="0.25">
      <c r="O53" s="10">
        <f>TTEST(N2:N49,O2:O49,2,1)</f>
        <v>1.5213660560506261E-7</v>
      </c>
      <c r="P53" s="10"/>
      <c r="Q53" s="10">
        <f t="shared" ref="P53:Q53" si="3">TTEST(P2:P49,Q2:Q49,2,1)</f>
        <v>2.0337163923528744E-17</v>
      </c>
    </row>
    <row r="54" spans="1:17" x14ac:dyDescent="0.25">
      <c r="O54" s="9">
        <f>CORREL(N2:N49,O2:O49)</f>
        <v>0.8814020951353928</v>
      </c>
      <c r="Q54" s="9">
        <f>CORREL(P2:P49,Q2:Q49)</f>
        <v>0.91524986501263816</v>
      </c>
    </row>
  </sheetData>
  <autoFilter ref="A1:Q1" xr:uid="{EC34FE20-C606-4B05-B9CB-07AC5D93E8AA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Saulo Gil</cp:lastModifiedBy>
  <dcterms:created xsi:type="dcterms:W3CDTF">2026-10-10T22:10:46Z</dcterms:created>
  <dcterms:modified xsi:type="dcterms:W3CDTF">2026-10-11T17:58:09Z</dcterms:modified>
</cp:coreProperties>
</file>